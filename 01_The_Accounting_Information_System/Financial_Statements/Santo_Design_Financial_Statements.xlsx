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rick Martinez\Documents\share\shared_repo\Accounting\01_The_Accounting_Information_System\Financial_Statements\"/>
    </mc:Choice>
  </mc:AlternateContent>
  <xr:revisionPtr revIDLastSave="0" documentId="13_ncr:1_{1C335E1C-CD64-44CA-9BC1-C95FA9E1B88A}" xr6:coauthVersionLast="47" xr6:coauthVersionMax="47" xr10:uidLastSave="{00000000-0000-0000-0000-000000000000}"/>
  <bookViews>
    <workbookView xWindow="-108" yWindow="-108" windowWidth="23256" windowHeight="12576" firstSheet="1" activeTab="1" xr2:uid="{0843221E-88AA-4CAC-BB47-19984FF70FCA}"/>
  </bookViews>
  <sheets>
    <sheet name="Santo Design Trial Balance 2025" sheetId="1" r:id="rId1"/>
    <sheet name="Santo Design Income Statement" sheetId="2" r:id="rId2"/>
    <sheet name="Santo Design Retained Earnings" sheetId="3" r:id="rId3"/>
    <sheet name="Santo Design Balance She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4" l="1"/>
  <c r="D24" i="4"/>
  <c r="D19" i="4"/>
  <c r="D20" i="4"/>
  <c r="D21" i="4"/>
  <c r="D22" i="4"/>
  <c r="D18" i="4"/>
  <c r="D27" i="4"/>
  <c r="A28" i="4"/>
  <c r="A19" i="4"/>
  <c r="A20" i="4"/>
  <c r="A21" i="4"/>
  <c r="A22" i="4"/>
  <c r="A27" i="4"/>
  <c r="A18" i="4"/>
  <c r="D9" i="4"/>
  <c r="D10" i="4"/>
  <c r="D11" i="4"/>
  <c r="B12" i="4"/>
  <c r="D13" i="4" s="1"/>
  <c r="D8" i="4"/>
  <c r="D7" i="3"/>
  <c r="B12" i="2"/>
  <c r="B13" i="2"/>
  <c r="B14" i="2"/>
  <c r="B15" i="2"/>
  <c r="B16" i="2"/>
  <c r="B11" i="2"/>
  <c r="D8" i="2"/>
  <c r="E27" i="1"/>
  <c r="C27" i="1"/>
  <c r="D15" i="4" l="1"/>
  <c r="D18" i="2"/>
  <c r="D20" i="2" s="1"/>
  <c r="D8" i="3" s="1"/>
  <c r="D9" i="3" s="1"/>
  <c r="D28" i="4" s="1"/>
  <c r="D30" i="4" s="1"/>
  <c r="D32" i="4" s="1"/>
  <c r="D34" i="4" s="1"/>
</calcChain>
</file>

<file path=xl/sharedStrings.xml><?xml version="1.0" encoding="utf-8"?>
<sst xmlns="http://schemas.openxmlformats.org/spreadsheetml/2006/main" count="61" uniqueCount="46">
  <si>
    <t>Santo Design</t>
  </si>
  <si>
    <t>Adjusted Trial Balance</t>
  </si>
  <si>
    <t>December 31, 2025</t>
  </si>
  <si>
    <t>Cash</t>
  </si>
  <si>
    <t>Dr.</t>
  </si>
  <si>
    <t>Cr.</t>
  </si>
  <si>
    <t>Accounts Receivable</t>
  </si>
  <si>
    <t>Supplies</t>
  </si>
  <si>
    <t>Prepaid Insurance</t>
  </si>
  <si>
    <t>Equipment</t>
  </si>
  <si>
    <t>Accumulted Depreciation - Equipment</t>
  </si>
  <si>
    <t>Accounts Payable</t>
  </si>
  <si>
    <t>Interest Payable</t>
  </si>
  <si>
    <t>Notes Payable</t>
  </si>
  <si>
    <t>Unearned Service Revenue</t>
  </si>
  <si>
    <t>Salaries and Wages Payable</t>
  </si>
  <si>
    <t>Common Stock</t>
  </si>
  <si>
    <t>Retained Earnings</t>
  </si>
  <si>
    <t>Service Revenue</t>
  </si>
  <si>
    <t>Salaries and Wages Expense</t>
  </si>
  <si>
    <t>Interest Expense</t>
  </si>
  <si>
    <t>Depreciation Expense</t>
  </si>
  <si>
    <t>Supplies Expense</t>
  </si>
  <si>
    <t>Rent Expense</t>
  </si>
  <si>
    <t>Insurance Expense</t>
  </si>
  <si>
    <t>Income Statement</t>
  </si>
  <si>
    <t>For the Year Ended December 31, 2025</t>
  </si>
  <si>
    <t>Revenues</t>
  </si>
  <si>
    <t>Service revenue</t>
  </si>
  <si>
    <t>Expenses</t>
  </si>
  <si>
    <t>Net income</t>
  </si>
  <si>
    <t>Total expenses</t>
  </si>
  <si>
    <t>Retained Earnings Statement</t>
  </si>
  <si>
    <t>Retained earnings, January 1, as reported</t>
  </si>
  <si>
    <t>Add: Net income</t>
  </si>
  <si>
    <t>Retained earnings, December 31</t>
  </si>
  <si>
    <t>Balance Sheet</t>
  </si>
  <si>
    <t>As of December 31, 2025</t>
  </si>
  <si>
    <t>Assets</t>
  </si>
  <si>
    <t>Less: Accumulted Depreciation - Equipment</t>
  </si>
  <si>
    <t>Total Assets</t>
  </si>
  <si>
    <t>Liabilities</t>
  </si>
  <si>
    <t>Stockholders' Equity</t>
  </si>
  <si>
    <t>Total Liabilities</t>
  </si>
  <si>
    <t>Total Stockholders' Equity</t>
  </si>
  <si>
    <t>Total Liabilities and Stockholders'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</si>
</sst>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2" applyNumberFormat="1" applyFont="1"/>
    <xf numFmtId="164" fontId="3" fillId="0" borderId="0" xfId="1" applyNumberFormat="1" applyFont="1"/>
    <xf numFmtId="164" fontId="3" fillId="0" borderId="2" xfId="1" applyNumberFormat="1" applyFont="1" applyBorder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164" fontId="3" fillId="0" borderId="0" xfId="0" applyNumberFormat="1" applyFont="1"/>
    <xf numFmtId="0" fontId="4" fillId="0" borderId="0" xfId="0" applyFont="1" applyBorder="1"/>
    <xf numFmtId="165" fontId="2" fillId="0" borderId="4" xfId="2" applyNumberFormat="1" applyFont="1" applyBorder="1"/>
    <xf numFmtId="164" fontId="3" fillId="0" borderId="1" xfId="1" applyNumberFormat="1" applyFont="1" applyBorder="1"/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horizontal="left" indent="1"/>
    </xf>
    <xf numFmtId="164" fontId="3" fillId="0" borderId="0" xfId="1" applyNumberFormat="1" applyFont="1" applyBorder="1"/>
    <xf numFmtId="0" fontId="3" fillId="0" borderId="0" xfId="0" applyFont="1" applyBorder="1" applyAlignment="1">
      <alignment horizontal="left" indent="2"/>
    </xf>
    <xf numFmtId="165" fontId="2" fillId="0" borderId="0" xfId="2" applyNumberFormat="1" applyFont="1" applyBorder="1"/>
    <xf numFmtId="0" fontId="3" fillId="0" borderId="0" xfId="0" applyFont="1" applyBorder="1" applyAlignment="1">
      <alignment horizontal="left"/>
    </xf>
    <xf numFmtId="164" fontId="3" fillId="0" borderId="0" xfId="2" applyNumberFormat="1" applyFont="1" applyBorder="1"/>
    <xf numFmtId="164" fontId="3" fillId="0" borderId="0" xfId="2" applyNumberFormat="1" applyFont="1"/>
    <xf numFmtId="164" fontId="3" fillId="0" borderId="1" xfId="2" applyNumberFormat="1" applyFont="1" applyBorder="1"/>
    <xf numFmtId="0" fontId="2" fillId="0" borderId="0" xfId="0" applyFont="1" applyBorder="1" applyAlignment="1">
      <alignment horizontal="left" indent="3"/>
    </xf>
    <xf numFmtId="0" fontId="2" fillId="0" borderId="0" xfId="0" applyFont="1" applyBorder="1" applyAlignment="1">
      <alignment horizontal="left" indent="2"/>
    </xf>
    <xf numFmtId="164" fontId="3" fillId="0" borderId="0" xfId="0" applyNumberFormat="1" applyFont="1" applyBorder="1"/>
    <xf numFmtId="164" fontId="2" fillId="0" borderId="0" xfId="2" applyNumberFormat="1" applyFont="1"/>
    <xf numFmtId="165" fontId="2" fillId="0" borderId="3" xfId="0" applyNumberFormat="1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15" fontId="2" fillId="0" borderId="2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DE86-061F-4E81-961F-2F49D65C3DB1}">
  <sheetPr codeName="Sheet2"/>
  <dimension ref="A1:E28"/>
  <sheetViews>
    <sheetView showGridLines="0" zoomScale="160" zoomScaleNormal="160" workbookViewId="0">
      <pane ySplit="6" topLeftCell="A7" activePane="bottomLeft" state="frozen"/>
      <selection pane="bottomLeft" sqref="A1:E1"/>
    </sheetView>
  </sheetViews>
  <sheetFormatPr defaultRowHeight="14.4" x14ac:dyDescent="0.3"/>
  <cols>
    <col min="1" max="1" width="43.77734375" customWidth="1"/>
    <col min="2" max="2" width="4" customWidth="1"/>
    <col min="3" max="3" width="15.77734375" customWidth="1"/>
    <col min="4" max="4" width="3.88671875" customWidth="1"/>
    <col min="5" max="5" width="14.88671875" customWidth="1"/>
  </cols>
  <sheetData>
    <row r="1" spans="1:5" x14ac:dyDescent="0.3">
      <c r="A1" s="13"/>
      <c r="B1" s="13"/>
      <c r="C1" s="13"/>
      <c r="D1" s="13"/>
      <c r="E1" s="13"/>
    </row>
    <row r="2" spans="1:5" ht="15.6" x14ac:dyDescent="0.3">
      <c r="A2" s="31" t="s">
        <v>0</v>
      </c>
      <c r="B2" s="31"/>
      <c r="C2" s="31"/>
      <c r="D2" s="31"/>
      <c r="E2" s="31"/>
    </row>
    <row r="3" spans="1:5" ht="15.6" x14ac:dyDescent="0.3">
      <c r="A3" s="29" t="s">
        <v>1</v>
      </c>
      <c r="B3" s="29"/>
      <c r="C3" s="29"/>
      <c r="D3" s="29"/>
      <c r="E3" s="29"/>
    </row>
    <row r="4" spans="1:5" ht="16.2" thickBot="1" x14ac:dyDescent="0.35">
      <c r="A4" s="30" t="s">
        <v>2</v>
      </c>
      <c r="B4" s="30"/>
      <c r="C4" s="30"/>
      <c r="D4" s="30"/>
      <c r="E4" s="30"/>
    </row>
    <row r="5" spans="1:5" ht="6" customHeight="1" x14ac:dyDescent="0.3">
      <c r="A5" s="1"/>
      <c r="B5" s="1"/>
      <c r="C5" s="1"/>
      <c r="D5" s="1"/>
      <c r="E5" s="1"/>
    </row>
    <row r="6" spans="1:5" ht="15.6" x14ac:dyDescent="0.3">
      <c r="A6" s="1"/>
      <c r="B6" s="1"/>
      <c r="C6" s="2" t="s">
        <v>4</v>
      </c>
      <c r="D6" s="3"/>
      <c r="E6" s="2" t="s">
        <v>5</v>
      </c>
    </row>
    <row r="7" spans="1:5" ht="15.6" x14ac:dyDescent="0.3">
      <c r="A7" s="1" t="s">
        <v>3</v>
      </c>
      <c r="B7" s="1"/>
      <c r="C7" s="4">
        <v>11350</v>
      </c>
      <c r="D7" s="5"/>
      <c r="E7" s="5"/>
    </row>
    <row r="8" spans="1:5" ht="15.6" x14ac:dyDescent="0.3">
      <c r="A8" s="1" t="s">
        <v>6</v>
      </c>
      <c r="B8" s="1"/>
      <c r="C8" s="5">
        <v>21500</v>
      </c>
      <c r="D8" s="5"/>
      <c r="E8" s="5"/>
    </row>
    <row r="9" spans="1:5" ht="15.6" x14ac:dyDescent="0.3">
      <c r="A9" s="1" t="s">
        <v>7</v>
      </c>
      <c r="B9" s="1"/>
      <c r="C9" s="5">
        <v>5000</v>
      </c>
      <c r="D9" s="5"/>
      <c r="E9" s="5"/>
    </row>
    <row r="10" spans="1:5" ht="15.6" x14ac:dyDescent="0.3">
      <c r="A10" s="1" t="s">
        <v>8</v>
      </c>
      <c r="B10" s="1"/>
      <c r="C10" s="5">
        <v>2500</v>
      </c>
      <c r="D10" s="5"/>
      <c r="E10" s="5"/>
    </row>
    <row r="11" spans="1:5" ht="15.6" x14ac:dyDescent="0.3">
      <c r="A11" s="1" t="s">
        <v>9</v>
      </c>
      <c r="B11" s="1"/>
      <c r="C11" s="5">
        <v>60000</v>
      </c>
      <c r="D11" s="5"/>
      <c r="E11" s="5"/>
    </row>
    <row r="12" spans="1:5" ht="15.6" x14ac:dyDescent="0.3">
      <c r="A12" s="1" t="s">
        <v>10</v>
      </c>
      <c r="B12" s="1"/>
      <c r="C12" s="5"/>
      <c r="D12" s="5"/>
      <c r="E12" s="5">
        <v>35000</v>
      </c>
    </row>
    <row r="13" spans="1:5" ht="15.6" x14ac:dyDescent="0.3">
      <c r="A13" s="1" t="s">
        <v>11</v>
      </c>
      <c r="B13" s="1"/>
      <c r="C13" s="5"/>
      <c r="D13" s="5"/>
      <c r="E13" s="5">
        <v>5000</v>
      </c>
    </row>
    <row r="14" spans="1:5" ht="15.6" x14ac:dyDescent="0.3">
      <c r="A14" s="1" t="s">
        <v>12</v>
      </c>
      <c r="B14" s="1"/>
      <c r="C14" s="5"/>
      <c r="D14" s="5"/>
      <c r="E14" s="5">
        <v>150</v>
      </c>
    </row>
    <row r="15" spans="1:5" ht="15.6" x14ac:dyDescent="0.3">
      <c r="A15" s="1" t="s">
        <v>13</v>
      </c>
      <c r="B15" s="1"/>
      <c r="C15" s="5"/>
      <c r="D15" s="5"/>
      <c r="E15" s="5">
        <v>5000</v>
      </c>
    </row>
    <row r="16" spans="1:5" ht="15.6" x14ac:dyDescent="0.3">
      <c r="A16" s="1" t="s">
        <v>14</v>
      </c>
      <c r="B16" s="1"/>
      <c r="C16" s="5"/>
      <c r="D16" s="5"/>
      <c r="E16" s="5">
        <v>5600</v>
      </c>
    </row>
    <row r="17" spans="1:5" ht="15.6" x14ac:dyDescent="0.3">
      <c r="A17" s="1" t="s">
        <v>15</v>
      </c>
      <c r="B17" s="1"/>
      <c r="C17" s="5"/>
      <c r="D17" s="5"/>
      <c r="E17" s="5">
        <v>1300</v>
      </c>
    </row>
    <row r="18" spans="1:5" ht="15.6" x14ac:dyDescent="0.3">
      <c r="A18" s="1" t="s">
        <v>16</v>
      </c>
      <c r="B18" s="1"/>
      <c r="C18" s="5"/>
      <c r="D18" s="5"/>
      <c r="E18" s="5">
        <v>10000</v>
      </c>
    </row>
    <row r="19" spans="1:5" ht="15.6" x14ac:dyDescent="0.3">
      <c r="A19" s="1" t="s">
        <v>17</v>
      </c>
      <c r="B19" s="1"/>
      <c r="C19" s="5"/>
      <c r="D19" s="5"/>
      <c r="E19" s="5">
        <v>3500</v>
      </c>
    </row>
    <row r="20" spans="1:5" ht="15.6" x14ac:dyDescent="0.3">
      <c r="A20" s="1" t="s">
        <v>18</v>
      </c>
      <c r="B20" s="1"/>
      <c r="C20" s="5"/>
      <c r="D20" s="5"/>
      <c r="E20" s="5">
        <v>61500</v>
      </c>
    </row>
    <row r="21" spans="1:5" ht="15.6" x14ac:dyDescent="0.3">
      <c r="A21" s="1" t="s">
        <v>19</v>
      </c>
      <c r="B21" s="1"/>
      <c r="C21" s="5">
        <v>11300</v>
      </c>
      <c r="D21" s="5"/>
      <c r="E21" s="5"/>
    </row>
    <row r="22" spans="1:5" ht="15.6" x14ac:dyDescent="0.3">
      <c r="A22" s="1" t="s">
        <v>24</v>
      </c>
      <c r="B22" s="1"/>
      <c r="C22" s="5">
        <v>850</v>
      </c>
      <c r="D22" s="5"/>
      <c r="E22" s="5"/>
    </row>
    <row r="23" spans="1:5" ht="15.6" x14ac:dyDescent="0.3">
      <c r="A23" s="1" t="s">
        <v>20</v>
      </c>
      <c r="B23" s="1"/>
      <c r="C23" s="5">
        <v>150</v>
      </c>
      <c r="D23" s="5"/>
      <c r="E23" s="5"/>
    </row>
    <row r="24" spans="1:5" ht="15.6" x14ac:dyDescent="0.3">
      <c r="A24" s="1" t="s">
        <v>21</v>
      </c>
      <c r="B24" s="1"/>
      <c r="C24" s="5">
        <v>7000</v>
      </c>
      <c r="D24" s="5"/>
      <c r="E24" s="5"/>
    </row>
    <row r="25" spans="1:5" ht="15.6" x14ac:dyDescent="0.3">
      <c r="A25" s="1" t="s">
        <v>22</v>
      </c>
      <c r="B25" s="1"/>
      <c r="C25" s="5">
        <v>3400</v>
      </c>
      <c r="D25" s="5"/>
      <c r="E25" s="5"/>
    </row>
    <row r="26" spans="1:5" ht="16.2" thickBot="1" x14ac:dyDescent="0.35">
      <c r="A26" s="1" t="s">
        <v>23</v>
      </c>
      <c r="B26" s="1"/>
      <c r="C26" s="6">
        <v>4000</v>
      </c>
      <c r="D26" s="5"/>
      <c r="E26" s="6"/>
    </row>
    <row r="27" spans="1:5" ht="16.2" thickBot="1" x14ac:dyDescent="0.35">
      <c r="A27" s="1"/>
      <c r="B27" s="1"/>
      <c r="C27" s="27">
        <f>SUM(C7:C26)</f>
        <v>127050</v>
      </c>
      <c r="D27" s="28"/>
      <c r="E27" s="27">
        <f>SUM(E7:E26)</f>
        <v>127050</v>
      </c>
    </row>
    <row r="28" spans="1:5" ht="15" thickTop="1" x14ac:dyDescent="0.3"/>
  </sheetData>
  <mergeCells count="3">
    <mergeCell ref="A2:E2"/>
    <mergeCell ref="A3:E3"/>
    <mergeCell ref="A4:E4"/>
  </mergeCells>
  <pageMargins left="1.0900000000000001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FBA0-358E-439E-A517-3897EAF405FD}">
  <sheetPr codeName="Sheet3"/>
  <dimension ref="A1:D21"/>
  <sheetViews>
    <sheetView showGridLines="0" tabSelected="1" zoomScale="145" zoomScaleNormal="145" workbookViewId="0">
      <selection activeCell="G12" sqref="G12"/>
    </sheetView>
  </sheetViews>
  <sheetFormatPr defaultRowHeight="14.4" x14ac:dyDescent="0.3"/>
  <cols>
    <col min="1" max="1" width="44.33203125" customWidth="1"/>
    <col min="2" max="2" width="10.109375" customWidth="1"/>
    <col min="3" max="3" width="3.44140625" customWidth="1"/>
    <col min="4" max="4" width="10.5546875" customWidth="1"/>
  </cols>
  <sheetData>
    <row r="1" spans="1:4" x14ac:dyDescent="0.3">
      <c r="A1" s="13"/>
      <c r="B1" s="13"/>
      <c r="C1" s="13"/>
      <c r="D1" s="13"/>
    </row>
    <row r="2" spans="1:4" ht="15.6" x14ac:dyDescent="0.3">
      <c r="A2" s="31" t="s">
        <v>0</v>
      </c>
      <c r="B2" s="31"/>
      <c r="C2" s="31"/>
      <c r="D2" s="31"/>
    </row>
    <row r="3" spans="1:4" ht="15.6" x14ac:dyDescent="0.3">
      <c r="A3" s="29" t="s">
        <v>25</v>
      </c>
      <c r="B3" s="29"/>
      <c r="C3" s="29"/>
      <c r="D3" s="29"/>
    </row>
    <row r="4" spans="1:4" ht="16.2" thickBot="1" x14ac:dyDescent="0.35">
      <c r="A4" s="30" t="s">
        <v>26</v>
      </c>
      <c r="B4" s="30"/>
      <c r="C4" s="30"/>
      <c r="D4" s="30"/>
    </row>
    <row r="5" spans="1:4" ht="6" customHeight="1" x14ac:dyDescent="0.3">
      <c r="A5" s="1"/>
      <c r="B5" s="1"/>
      <c r="C5" s="1"/>
      <c r="D5" s="1"/>
    </row>
    <row r="7" spans="1:4" ht="15.6" x14ac:dyDescent="0.3">
      <c r="A7" s="10" t="s">
        <v>27</v>
      </c>
      <c r="B7" s="1"/>
      <c r="C7" s="1"/>
      <c r="D7" s="1"/>
    </row>
    <row r="8" spans="1:4" ht="15.6" x14ac:dyDescent="0.3">
      <c r="A8" s="7" t="s">
        <v>28</v>
      </c>
      <c r="B8" s="1"/>
      <c r="C8" s="1"/>
      <c r="D8" s="4">
        <f>'Santo Design Trial Balance 2025'!E20</f>
        <v>61500</v>
      </c>
    </row>
    <row r="9" spans="1:4" ht="15.6" x14ac:dyDescent="0.3">
      <c r="A9" s="7"/>
      <c r="B9" s="1"/>
      <c r="C9" s="1"/>
      <c r="D9" s="4"/>
    </row>
    <row r="10" spans="1:4" ht="15.6" x14ac:dyDescent="0.3">
      <c r="A10" s="10" t="s">
        <v>29</v>
      </c>
      <c r="B10" s="1"/>
      <c r="C10" s="1"/>
      <c r="D10" s="5"/>
    </row>
    <row r="11" spans="1:4" ht="15.6" x14ac:dyDescent="0.3">
      <c r="A11" s="7" t="s">
        <v>19</v>
      </c>
      <c r="B11" s="5">
        <f>'Santo Design Trial Balance 2025'!C21</f>
        <v>11300</v>
      </c>
      <c r="C11" s="5"/>
    </row>
    <row r="12" spans="1:4" ht="15.6" x14ac:dyDescent="0.3">
      <c r="A12" s="7" t="s">
        <v>24</v>
      </c>
      <c r="B12" s="5">
        <f>'Santo Design Trial Balance 2025'!C22</f>
        <v>850</v>
      </c>
      <c r="C12" s="5"/>
    </row>
    <row r="13" spans="1:4" ht="15.6" x14ac:dyDescent="0.3">
      <c r="A13" s="7" t="s">
        <v>20</v>
      </c>
      <c r="B13" s="5">
        <f>'Santo Design Trial Balance 2025'!C23</f>
        <v>150</v>
      </c>
      <c r="C13" s="5"/>
    </row>
    <row r="14" spans="1:4" ht="15.6" x14ac:dyDescent="0.3">
      <c r="A14" s="7" t="s">
        <v>21</v>
      </c>
      <c r="B14" s="5">
        <f>'Santo Design Trial Balance 2025'!C24</f>
        <v>7000</v>
      </c>
      <c r="C14" s="5"/>
    </row>
    <row r="15" spans="1:4" ht="15.6" x14ac:dyDescent="0.3">
      <c r="A15" s="7" t="s">
        <v>22</v>
      </c>
      <c r="B15" s="5">
        <f>'Santo Design Trial Balance 2025'!C25</f>
        <v>3400</v>
      </c>
      <c r="C15" s="5"/>
    </row>
    <row r="16" spans="1:4" ht="15.6" x14ac:dyDescent="0.3">
      <c r="A16" s="7" t="s">
        <v>23</v>
      </c>
      <c r="B16" s="12">
        <f>'Santo Design Trial Balance 2025'!C26</f>
        <v>4000</v>
      </c>
      <c r="C16" s="5"/>
      <c r="D16" s="13"/>
    </row>
    <row r="17" spans="1:4" ht="15.6" x14ac:dyDescent="0.3">
      <c r="A17" s="7"/>
      <c r="B17" s="16"/>
      <c r="C17" s="5"/>
      <c r="D17" s="13"/>
    </row>
    <row r="18" spans="1:4" s="1" customFormat="1" ht="15.6" x14ac:dyDescent="0.3">
      <c r="A18" s="8" t="s">
        <v>31</v>
      </c>
      <c r="D18" s="12">
        <f>SUM(B11:B16)</f>
        <v>26700</v>
      </c>
    </row>
    <row r="19" spans="1:4" s="1" customFormat="1" ht="15.6" x14ac:dyDescent="0.3">
      <c r="A19" s="8"/>
      <c r="D19" s="16"/>
    </row>
    <row r="20" spans="1:4" ht="16.2" thickBot="1" x14ac:dyDescent="0.35">
      <c r="A20" s="23" t="s">
        <v>30</v>
      </c>
      <c r="B20" s="1"/>
      <c r="C20" s="1"/>
      <c r="D20" s="11">
        <f>D8-D18</f>
        <v>34800</v>
      </c>
    </row>
    <row r="21" spans="1:4" ht="15" thickTop="1" x14ac:dyDescent="0.3"/>
  </sheetData>
  <mergeCells count="3">
    <mergeCell ref="A2:D2"/>
    <mergeCell ref="A3:D3"/>
    <mergeCell ref="A4:D4"/>
  </mergeCells>
  <pageMargins left="1.55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D01A-0F06-438E-A255-615564C8CF9A}">
  <sheetPr codeName="Sheet4"/>
  <dimension ref="A1:D17"/>
  <sheetViews>
    <sheetView showGridLines="0" zoomScale="145" zoomScaleNormal="145" workbookViewId="0">
      <selection activeCell="D7" sqref="D7"/>
    </sheetView>
  </sheetViews>
  <sheetFormatPr defaultRowHeight="14.4" x14ac:dyDescent="0.3"/>
  <cols>
    <col min="1" max="1" width="52.5546875" customWidth="1"/>
    <col min="2" max="2" width="10.109375" customWidth="1"/>
    <col min="3" max="3" width="3.44140625" customWidth="1"/>
    <col min="4" max="4" width="12.6640625" bestFit="1" customWidth="1"/>
  </cols>
  <sheetData>
    <row r="1" spans="1:4" x14ac:dyDescent="0.3">
      <c r="A1" s="13"/>
      <c r="B1" s="13"/>
      <c r="C1" s="13"/>
      <c r="D1" s="13"/>
    </row>
    <row r="2" spans="1:4" ht="15.6" x14ac:dyDescent="0.3">
      <c r="A2" s="31" t="s">
        <v>0</v>
      </c>
      <c r="B2" s="31"/>
      <c r="C2" s="31"/>
      <c r="D2" s="31"/>
    </row>
    <row r="3" spans="1:4" ht="15.6" x14ac:dyDescent="0.3">
      <c r="A3" s="29" t="s">
        <v>32</v>
      </c>
      <c r="B3" s="29"/>
      <c r="C3" s="29"/>
      <c r="D3" s="29"/>
    </row>
    <row r="4" spans="1:4" ht="16.2" thickBot="1" x14ac:dyDescent="0.35">
      <c r="A4" s="30" t="s">
        <v>26</v>
      </c>
      <c r="B4" s="30"/>
      <c r="C4" s="30"/>
      <c r="D4" s="30"/>
    </row>
    <row r="5" spans="1:4" ht="6" customHeight="1" x14ac:dyDescent="0.3">
      <c r="A5" s="1"/>
      <c r="B5" s="1"/>
      <c r="C5" s="1"/>
      <c r="D5" s="1"/>
    </row>
    <row r="7" spans="1:4" ht="15.6" x14ac:dyDescent="0.3">
      <c r="A7" s="14" t="s">
        <v>33</v>
      </c>
      <c r="B7" s="14"/>
      <c r="C7" s="14"/>
      <c r="D7" s="20">
        <f>'Santo Design Trial Balance 2025'!E19</f>
        <v>3500</v>
      </c>
    </row>
    <row r="8" spans="1:4" ht="15.6" x14ac:dyDescent="0.3">
      <c r="A8" s="19" t="s">
        <v>34</v>
      </c>
      <c r="B8" s="14"/>
      <c r="C8" s="14"/>
      <c r="D8" s="20">
        <f>'Santo Design Income Statement'!D20</f>
        <v>34800</v>
      </c>
    </row>
    <row r="9" spans="1:4" ht="16.2" thickBot="1" x14ac:dyDescent="0.35">
      <c r="A9" s="14" t="s">
        <v>35</v>
      </c>
      <c r="B9" s="14"/>
      <c r="C9" s="14"/>
      <c r="D9" s="11">
        <f>D7+D8</f>
        <v>38300</v>
      </c>
    </row>
    <row r="10" spans="1:4" ht="16.2" thickTop="1" x14ac:dyDescent="0.3">
      <c r="A10" s="15"/>
      <c r="B10" s="16"/>
      <c r="C10" s="16"/>
      <c r="D10" s="13"/>
    </row>
    <row r="11" spans="1:4" ht="15.6" x14ac:dyDescent="0.3">
      <c r="A11" s="15"/>
      <c r="B11" s="16"/>
      <c r="C11" s="16"/>
      <c r="D11" s="13"/>
    </row>
    <row r="12" spans="1:4" ht="15.6" x14ac:dyDescent="0.3">
      <c r="A12" s="15"/>
      <c r="B12" s="16"/>
      <c r="C12" s="16"/>
      <c r="D12" s="13"/>
    </row>
    <row r="13" spans="1:4" ht="15.6" x14ac:dyDescent="0.3">
      <c r="A13" s="15"/>
      <c r="B13" s="16"/>
      <c r="C13" s="16"/>
      <c r="D13" s="13"/>
    </row>
    <row r="14" spans="1:4" ht="15.6" x14ac:dyDescent="0.3">
      <c r="A14" s="15"/>
      <c r="B14" s="16"/>
      <c r="C14" s="16"/>
      <c r="D14" s="13"/>
    </row>
    <row r="15" spans="1:4" ht="15.6" x14ac:dyDescent="0.3">
      <c r="A15" s="15"/>
      <c r="B15" s="16"/>
      <c r="C15" s="16"/>
      <c r="D15" s="13"/>
    </row>
    <row r="16" spans="1:4" s="1" customFormat="1" ht="15.6" x14ac:dyDescent="0.3">
      <c r="A16" s="17"/>
      <c r="B16" s="14"/>
      <c r="C16" s="14"/>
      <c r="D16" s="16"/>
    </row>
    <row r="17" spans="1:4" ht="15.6" x14ac:dyDescent="0.3">
      <c r="A17" s="10"/>
      <c r="B17" s="14"/>
      <c r="C17" s="14"/>
      <c r="D17" s="18"/>
    </row>
  </sheetData>
  <mergeCells count="3">
    <mergeCell ref="A2:D2"/>
    <mergeCell ref="A3:D3"/>
    <mergeCell ref="A4:D4"/>
  </mergeCells>
  <pageMargins left="1.1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3DB6-DFE6-4BE9-ABCF-591B73088624}">
  <sheetPr codeName="Sheet5"/>
  <dimension ref="A1:D34"/>
  <sheetViews>
    <sheetView showGridLines="0" zoomScale="145" zoomScaleNormal="145" workbookViewId="0">
      <pane ySplit="4" topLeftCell="A5" activePane="bottomLeft" state="frozen"/>
      <selection pane="bottomLeft" activeCell="A11" sqref="A11"/>
    </sheetView>
  </sheetViews>
  <sheetFormatPr defaultRowHeight="14.4" x14ac:dyDescent="0.3"/>
  <cols>
    <col min="1" max="1" width="57.109375" customWidth="1"/>
    <col min="2" max="2" width="10.109375" customWidth="1"/>
    <col min="3" max="3" width="3.44140625" customWidth="1"/>
    <col min="4" max="4" width="12.6640625" bestFit="1" customWidth="1"/>
  </cols>
  <sheetData>
    <row r="1" spans="1:4" x14ac:dyDescent="0.3">
      <c r="A1" s="13"/>
      <c r="B1" s="13"/>
      <c r="C1" s="13"/>
      <c r="D1" s="13"/>
    </row>
    <row r="2" spans="1:4" ht="15.6" x14ac:dyDescent="0.3">
      <c r="A2" s="31" t="s">
        <v>0</v>
      </c>
      <c r="B2" s="31"/>
      <c r="C2" s="31"/>
      <c r="D2" s="31"/>
    </row>
    <row r="3" spans="1:4" ht="15.6" x14ac:dyDescent="0.3">
      <c r="A3" s="29" t="s">
        <v>36</v>
      </c>
      <c r="B3" s="29"/>
      <c r="C3" s="29"/>
      <c r="D3" s="29"/>
    </row>
    <row r="4" spans="1:4" ht="16.2" thickBot="1" x14ac:dyDescent="0.35">
      <c r="A4" s="30" t="s">
        <v>37</v>
      </c>
      <c r="B4" s="30"/>
      <c r="C4" s="30"/>
      <c r="D4" s="30"/>
    </row>
    <row r="5" spans="1:4" ht="6" customHeight="1" x14ac:dyDescent="0.3">
      <c r="A5" s="1"/>
      <c r="B5" s="1"/>
      <c r="C5" s="1"/>
      <c r="D5" s="1"/>
    </row>
    <row r="6" spans="1:4" ht="15.6" x14ac:dyDescent="0.3">
      <c r="A6" s="1"/>
      <c r="B6" s="1"/>
      <c r="C6" s="1"/>
      <c r="D6" s="1"/>
    </row>
    <row r="7" spans="1:4" ht="15.6" x14ac:dyDescent="0.3">
      <c r="A7" s="10" t="s">
        <v>38</v>
      </c>
      <c r="B7" s="1"/>
      <c r="C7" s="1"/>
      <c r="D7" s="1"/>
    </row>
    <row r="8" spans="1:4" ht="15.6" x14ac:dyDescent="0.3">
      <c r="A8" s="7" t="s">
        <v>3</v>
      </c>
      <c r="B8" s="1"/>
      <c r="C8" s="1"/>
      <c r="D8" s="21">
        <f>'Santo Design Trial Balance 2025'!C7</f>
        <v>11350</v>
      </c>
    </row>
    <row r="9" spans="1:4" ht="15.6" x14ac:dyDescent="0.3">
      <c r="A9" s="7" t="s">
        <v>6</v>
      </c>
      <c r="B9" s="14"/>
      <c r="C9" s="14"/>
      <c r="D9" s="21">
        <f>'Santo Design Trial Balance 2025'!C8</f>
        <v>21500</v>
      </c>
    </row>
    <row r="10" spans="1:4" ht="15.6" x14ac:dyDescent="0.3">
      <c r="A10" s="7" t="s">
        <v>7</v>
      </c>
      <c r="B10" s="16"/>
      <c r="C10" s="16"/>
      <c r="D10" s="21">
        <f>'Santo Design Trial Balance 2025'!C9</f>
        <v>5000</v>
      </c>
    </row>
    <row r="11" spans="1:4" ht="15.6" x14ac:dyDescent="0.3">
      <c r="A11" s="7" t="s">
        <v>8</v>
      </c>
      <c r="B11" s="16"/>
      <c r="C11" s="16"/>
      <c r="D11" s="21">
        <f>'Santo Design Trial Balance 2025'!C10</f>
        <v>2500</v>
      </c>
    </row>
    <row r="12" spans="1:4" ht="15.6" x14ac:dyDescent="0.3">
      <c r="A12" s="7" t="s">
        <v>9</v>
      </c>
      <c r="B12" s="21">
        <f>'Santo Design Trial Balance 2025'!C11</f>
        <v>60000</v>
      </c>
      <c r="C12" s="16"/>
      <c r="D12" s="1"/>
    </row>
    <row r="13" spans="1:4" ht="15.6" x14ac:dyDescent="0.3">
      <c r="A13" s="8" t="s">
        <v>39</v>
      </c>
      <c r="B13" s="22">
        <f>-'Santo Design Trial Balance 2025'!E12</f>
        <v>-35000</v>
      </c>
      <c r="C13" s="16"/>
      <c r="D13" s="9">
        <f>SUM(B12:B13)</f>
        <v>25000</v>
      </c>
    </row>
    <row r="14" spans="1:4" ht="15.6" x14ac:dyDescent="0.3">
      <c r="A14" s="15"/>
      <c r="B14" s="16"/>
      <c r="C14" s="16"/>
      <c r="D14" s="25"/>
    </row>
    <row r="15" spans="1:4" ht="16.2" thickBot="1" x14ac:dyDescent="0.35">
      <c r="A15" s="23" t="s">
        <v>40</v>
      </c>
      <c r="B15" s="16"/>
      <c r="C15" s="16"/>
      <c r="D15" s="11">
        <f>SUM(D8:D13)</f>
        <v>65350</v>
      </c>
    </row>
    <row r="16" spans="1:4" s="1" customFormat="1" ht="16.2" thickTop="1" x14ac:dyDescent="0.3">
      <c r="A16" s="17"/>
      <c r="B16" s="14"/>
      <c r="C16" s="14"/>
      <c r="D16" s="16"/>
    </row>
    <row r="17" spans="1:4" ht="15.6" x14ac:dyDescent="0.3">
      <c r="A17" s="10" t="s">
        <v>41</v>
      </c>
      <c r="B17" s="14"/>
      <c r="C17" s="14"/>
      <c r="D17" s="18"/>
    </row>
    <row r="18" spans="1:4" ht="15.6" x14ac:dyDescent="0.3">
      <c r="A18" s="15" t="str">
        <f>'Santo Design Trial Balance 2025'!A13</f>
        <v>Accounts Payable</v>
      </c>
      <c r="B18" s="14"/>
      <c r="C18" s="14"/>
      <c r="D18" s="20">
        <f>'Santo Design Trial Balance 2025'!E13</f>
        <v>5000</v>
      </c>
    </row>
    <row r="19" spans="1:4" ht="15.6" x14ac:dyDescent="0.3">
      <c r="A19" s="15" t="str">
        <f>'Santo Design Trial Balance 2025'!A14</f>
        <v>Interest Payable</v>
      </c>
      <c r="B19" s="14"/>
      <c r="C19" s="14"/>
      <c r="D19" s="16">
        <f>'Santo Design Trial Balance 2025'!E14</f>
        <v>150</v>
      </c>
    </row>
    <row r="20" spans="1:4" ht="15.6" x14ac:dyDescent="0.3">
      <c r="A20" s="15" t="str">
        <f>'Santo Design Trial Balance 2025'!A15</f>
        <v>Notes Payable</v>
      </c>
      <c r="B20" s="1"/>
      <c r="C20" s="1"/>
      <c r="D20" s="16">
        <f>'Santo Design Trial Balance 2025'!E15</f>
        <v>5000</v>
      </c>
    </row>
    <row r="21" spans="1:4" ht="15.6" x14ac:dyDescent="0.3">
      <c r="A21" s="15" t="str">
        <f>'Santo Design Trial Balance 2025'!A16</f>
        <v>Unearned Service Revenue</v>
      </c>
      <c r="B21" s="1"/>
      <c r="C21" s="1"/>
      <c r="D21" s="16">
        <f>'Santo Design Trial Balance 2025'!E16</f>
        <v>5600</v>
      </c>
    </row>
    <row r="22" spans="1:4" ht="15.6" x14ac:dyDescent="0.3">
      <c r="A22" s="15" t="str">
        <f>'Santo Design Trial Balance 2025'!A17</f>
        <v>Salaries and Wages Payable</v>
      </c>
      <c r="B22" s="1"/>
      <c r="C22" s="1"/>
      <c r="D22" s="12">
        <f>'Santo Design Trial Balance 2025'!E17</f>
        <v>1300</v>
      </c>
    </row>
    <row r="23" spans="1:4" ht="15.6" x14ac:dyDescent="0.3">
      <c r="A23" s="15"/>
      <c r="B23" s="1"/>
      <c r="C23" s="1"/>
      <c r="D23" s="16"/>
    </row>
    <row r="24" spans="1:4" ht="15.6" x14ac:dyDescent="0.3">
      <c r="A24" s="24" t="s">
        <v>43</v>
      </c>
      <c r="B24" s="1"/>
      <c r="C24" s="1"/>
      <c r="D24" s="26">
        <f>SUM(D18:D23)</f>
        <v>17050</v>
      </c>
    </row>
    <row r="25" spans="1:4" ht="15.6" x14ac:dyDescent="0.3">
      <c r="A25" s="23"/>
      <c r="B25" s="1"/>
      <c r="C25" s="1"/>
      <c r="D25" s="5"/>
    </row>
    <row r="26" spans="1:4" ht="15.6" x14ac:dyDescent="0.3">
      <c r="A26" s="10" t="s">
        <v>42</v>
      </c>
      <c r="B26" s="1"/>
      <c r="C26" s="1"/>
      <c r="D26" s="5"/>
    </row>
    <row r="27" spans="1:4" ht="15.6" x14ac:dyDescent="0.3">
      <c r="A27" s="15" t="str">
        <f>'Santo Design Trial Balance 2025'!A18</f>
        <v>Common Stock</v>
      </c>
      <c r="B27" s="1"/>
      <c r="C27" s="1"/>
      <c r="D27" s="5">
        <f>'Santo Design Trial Balance 2025'!E18</f>
        <v>10000</v>
      </c>
    </row>
    <row r="28" spans="1:4" ht="15.6" x14ac:dyDescent="0.3">
      <c r="A28" s="15" t="str">
        <f>'Santo Design Trial Balance 2025'!A19</f>
        <v>Retained Earnings</v>
      </c>
      <c r="B28" s="1"/>
      <c r="C28" s="1"/>
      <c r="D28" s="12">
        <f>'Santo Design Retained Earnings'!D9</f>
        <v>38300</v>
      </c>
    </row>
    <row r="29" spans="1:4" ht="15.6" x14ac:dyDescent="0.3">
      <c r="A29" s="14"/>
      <c r="B29" s="1"/>
      <c r="C29" s="1"/>
      <c r="D29" s="1"/>
    </row>
    <row r="30" spans="1:4" ht="15.6" x14ac:dyDescent="0.3">
      <c r="A30" s="24" t="s">
        <v>44</v>
      </c>
      <c r="B30" s="1"/>
      <c r="C30" s="1"/>
      <c r="D30" s="26">
        <f>SUM(D27:D29)</f>
        <v>48300</v>
      </c>
    </row>
    <row r="31" spans="1:4" ht="15.6" x14ac:dyDescent="0.3">
      <c r="A31" s="1"/>
      <c r="B31" s="1"/>
      <c r="C31" s="1"/>
      <c r="D31" s="1"/>
    </row>
    <row r="32" spans="1:4" ht="16.2" thickBot="1" x14ac:dyDescent="0.35">
      <c r="A32" s="23" t="s">
        <v>45</v>
      </c>
      <c r="B32" s="1"/>
      <c r="C32" s="1"/>
      <c r="D32" s="11">
        <f>D24+D30</f>
        <v>65350</v>
      </c>
    </row>
    <row r="33" spans="1:4" ht="16.2" thickTop="1" x14ac:dyDescent="0.3">
      <c r="A33" s="1"/>
      <c r="B33" s="1"/>
      <c r="C33" s="1"/>
      <c r="D33" s="1"/>
    </row>
    <row r="34" spans="1:4" ht="15.6" x14ac:dyDescent="0.3">
      <c r="A34" s="1"/>
      <c r="B34" s="1"/>
      <c r="C34" s="1"/>
      <c r="D34" s="9">
        <f>D15-D32</f>
        <v>0</v>
      </c>
    </row>
  </sheetData>
  <mergeCells count="3">
    <mergeCell ref="A2:D2"/>
    <mergeCell ref="A3:D3"/>
    <mergeCell ref="A4:D4"/>
  </mergeCells>
  <pageMargins left="0.8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Santo Design Trial Balance 2025</vt:lpstr>
      <vt:lpstr>Santo Design Income Statement</vt:lpstr>
      <vt:lpstr>Santo Design Retained Earnings</vt:lpstr>
      <vt:lpstr>Santo Design 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2026-09-16T15:51:36Z</cp:lastPrinted>
  <dcterms:created xsi:type="dcterms:W3CDTF">2026-09-16T13:04:14Z</dcterms:created>
  <dcterms:modified xsi:type="dcterms:W3CDTF">2026-09-16T15:53:21Z</dcterms:modified>
</cp:coreProperties>
</file>